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dya\OneDrive\Documents\GitHub\spatiality\"/>
    </mc:Choice>
  </mc:AlternateContent>
  <xr:revisionPtr revIDLastSave="0" documentId="8_{38243E83-19AC-45F7-A7E5-F6B0DB4A15BB}" xr6:coauthVersionLast="47" xr6:coauthVersionMax="47" xr10:uidLastSave="{00000000-0000-0000-0000-000000000000}"/>
  <bookViews>
    <workbookView xWindow="-120" yWindow="-120" windowWidth="29040" windowHeight="15720" xr2:uid="{F23D69AB-A59C-4E89-92D7-DA518DE163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5" i="1" l="1"/>
  <c r="AN5" i="1" s="1"/>
  <c r="AI4" i="1"/>
  <c r="AN4" i="1" s="1"/>
  <c r="AI3" i="1"/>
  <c r="AN3" i="1" s="1"/>
  <c r="AL4" i="1" l="1"/>
  <c r="AL5" i="1"/>
  <c r="AL3" i="1"/>
</calcChain>
</file>

<file path=xl/sharedStrings.xml><?xml version="1.0" encoding="utf-8"?>
<sst xmlns="http://schemas.openxmlformats.org/spreadsheetml/2006/main" count="42" uniqueCount="12">
  <si>
    <t xml:space="preserve"> </t>
  </si>
  <si>
    <t>A</t>
  </si>
  <si>
    <t>B</t>
  </si>
  <si>
    <t>C</t>
  </si>
  <si>
    <t>Majority</t>
  </si>
  <si>
    <t>Majority %</t>
  </si>
  <si>
    <t>Minority</t>
  </si>
  <si>
    <t>Minority %</t>
  </si>
  <si>
    <t>Count</t>
  </si>
  <si>
    <t>Zone</t>
  </si>
  <si>
    <t>Variety</t>
  </si>
  <si>
    <t>Majority percentage at zone C below 80% meaning the zone is not completely homogenous, there are 3 unique values of landuse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</si>
</sst>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4" x14ac:knownFonts="1">
    <font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FF0000"/>
      <name val="Segoe UI"/>
      <family val="2"/>
    </font>
    <font>
      <b/>
      <sz val="11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/>
      <bottom style="thick">
        <color rgb="FFFF0000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/>
      <right style="thin">
        <color indexed="64"/>
      </right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3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164" fontId="0" fillId="0" borderId="0" xfId="1" applyNumberFormat="1" applyFont="1"/>
    <xf numFmtId="0" fontId="0" fillId="6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0" borderId="7" xfId="0" applyBorder="1"/>
    <xf numFmtId="0" fontId="0" fillId="0" borderId="1" xfId="0" applyFill="1" applyBorder="1" applyAlignment="1">
      <alignment horizontal="center" vertical="center"/>
    </xf>
    <xf numFmtId="0" fontId="0" fillId="0" borderId="6" xfId="0" applyBorder="1"/>
    <xf numFmtId="0" fontId="0" fillId="0" borderId="2" xfId="0" applyFill="1" applyBorder="1" applyAlignment="1">
      <alignment horizontal="center" vertical="center"/>
    </xf>
    <xf numFmtId="0" fontId="0" fillId="0" borderId="5" xfId="0" applyBorder="1"/>
    <xf numFmtId="0" fontId="0" fillId="4" borderId="8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10" xfId="0" applyBorder="1"/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0" fontId="0" fillId="0" borderId="21" xfId="0" applyBorder="1"/>
    <xf numFmtId="0" fontId="0" fillId="0" borderId="20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28" xfId="0" applyFill="1" applyBorder="1" applyAlignment="1">
      <alignment horizontal="center" vertical="center"/>
    </xf>
    <xf numFmtId="0" fontId="0" fillId="0" borderId="2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0" fillId="4" borderId="33" xfId="0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7" xfId="0" applyFont="1" applyBorder="1" applyAlignment="1">
      <alignment horizontal="right" vertical="top"/>
    </xf>
    <xf numFmtId="0" fontId="0" fillId="2" borderId="11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64" fontId="2" fillId="0" borderId="0" xfId="1" applyNumberFormat="1" applyFont="1"/>
    <xf numFmtId="0" fontId="0" fillId="2" borderId="20" xfId="0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164" fontId="0" fillId="0" borderId="0" xfId="1" applyNumberFormat="1" applyFont="1" applyAlignment="1">
      <alignment horizontal="right"/>
    </xf>
    <xf numFmtId="0" fontId="3" fillId="0" borderId="7" xfId="0" applyFont="1" applyBorder="1" applyAlignment="1">
      <alignment horizontal="right"/>
    </xf>
    <xf numFmtId="164" fontId="2" fillId="0" borderId="0" xfId="1" applyNumberFormat="1" applyFont="1" applyAlignment="1">
      <alignment horizontal="right"/>
    </xf>
    <xf numFmtId="0" fontId="0" fillId="0" borderId="0" xfId="0" applyAlignment="1">
      <alignment horizontal="left"/>
    </xf>
    <xf numFmtId="0" fontId="3" fillId="0" borderId="7" xfId="0" applyFont="1" applyBorder="1" applyAlignment="1">
      <alignment horizontal="left" vertical="top"/>
    </xf>
    <xf numFmtId="0" fontId="3" fillId="0" borderId="7" xfId="0" applyFont="1" applyBorder="1" applyAlignment="1">
      <alignment horizontal="left"/>
    </xf>
    <xf numFmtId="0" fontId="0" fillId="0" borderId="0" xfId="0" applyNumberFormat="1" applyAlignment="1">
      <alignment horizontal="center"/>
    </xf>
    <xf numFmtId="0" fontId="0" fillId="0" borderId="0" xfId="1" applyNumberFormat="1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D3D26-D575-4E56-B7D0-850DA7D5B8D2}" name="Table1" displayName="Table1" ref="AH37:AK43" totalsRowShown="0" headerRowDxfId="0" dataDxfId="1">
  <tableColumns count="4">
    <tableColumn id="1" xr3:uid="{29334CD0-58FF-4416-B720-4D630D203B19}" name="Zone" dataDxfId="5"/>
    <tableColumn id="2" xr3:uid="{AD458EBF-F5A4-4244-B069-B3DC4870340D}" name="A" dataDxfId="4"/>
    <tableColumn id="3" xr3:uid="{6A777CBC-D515-4C11-B2E0-5300CD2FF248}" name="B" dataDxfId="3"/>
    <tableColumn id="4" xr3:uid="{F361A7AC-8005-496A-9486-4A7065B7FF7A}" name="C" dataDxfId="2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90C30-D362-45C9-BCE6-75AF55C01F46}">
  <dimension ref="A1:AN43"/>
  <sheetViews>
    <sheetView tabSelected="1" workbookViewId="0">
      <selection activeCell="AH37" sqref="AH37:AK43"/>
    </sheetView>
  </sheetViews>
  <sheetFormatPr defaultRowHeight="16.5" x14ac:dyDescent="0.3"/>
  <cols>
    <col min="1" max="10" width="3.75" customWidth="1"/>
    <col min="12" max="21" width="3.75" customWidth="1"/>
    <col min="23" max="32" width="3.75" customWidth="1"/>
    <col min="34" max="34" width="12.25" style="85" customWidth="1"/>
    <col min="35" max="35" width="6.25" customWidth="1"/>
    <col min="36" max="36" width="7.875" customWidth="1"/>
    <col min="37" max="37" width="9.125" customWidth="1"/>
    <col min="38" max="38" width="11.5" customWidth="1"/>
    <col min="39" max="39" width="9.625" customWidth="1"/>
    <col min="40" max="40" width="11.125" customWidth="1"/>
  </cols>
  <sheetData>
    <row r="1" spans="1:40" ht="17.25" thickBot="1" x14ac:dyDescent="0.35">
      <c r="G1" s="27"/>
      <c r="R1" s="27"/>
      <c r="W1" s="19"/>
      <c r="X1" s="19"/>
      <c r="Y1" s="19"/>
      <c r="Z1" s="19"/>
      <c r="AA1" s="19"/>
      <c r="AB1" s="19"/>
      <c r="AC1" s="27"/>
      <c r="AD1" s="19"/>
      <c r="AE1" s="19"/>
      <c r="AF1" s="19"/>
    </row>
    <row r="2" spans="1:40" ht="21.75" customHeight="1" thickTop="1" thickBot="1" x14ac:dyDescent="0.35">
      <c r="A2" s="11">
        <v>4</v>
      </c>
      <c r="B2" s="11">
        <v>4</v>
      </c>
      <c r="C2" s="11">
        <v>4</v>
      </c>
      <c r="D2" s="11">
        <v>4</v>
      </c>
      <c r="E2" s="2">
        <v>1</v>
      </c>
      <c r="F2" s="26">
        <v>1</v>
      </c>
      <c r="G2" s="75">
        <v>5</v>
      </c>
      <c r="H2" s="3">
        <v>5</v>
      </c>
      <c r="I2" s="2">
        <v>1</v>
      </c>
      <c r="J2" s="12">
        <v>2</v>
      </c>
      <c r="L2" s="20"/>
      <c r="M2" s="20"/>
      <c r="N2" s="20"/>
      <c r="O2" s="20"/>
      <c r="P2" s="20"/>
      <c r="Q2" s="51"/>
      <c r="R2" s="55"/>
      <c r="S2" s="22"/>
      <c r="T2" s="20"/>
      <c r="U2" s="20"/>
      <c r="V2" s="21"/>
      <c r="W2" s="20" t="s">
        <v>0</v>
      </c>
      <c r="X2" s="20"/>
      <c r="Y2" s="20"/>
      <c r="Z2" s="22"/>
      <c r="AA2" s="20"/>
      <c r="AB2" s="51"/>
      <c r="AC2" s="76">
        <v>5</v>
      </c>
      <c r="AD2" s="22"/>
      <c r="AE2" s="20"/>
      <c r="AF2" s="20"/>
      <c r="AH2" s="86" t="s">
        <v>9</v>
      </c>
      <c r="AI2" s="74" t="s">
        <v>8</v>
      </c>
      <c r="AJ2" s="74" t="s">
        <v>10</v>
      </c>
      <c r="AK2" s="74" t="s">
        <v>4</v>
      </c>
      <c r="AL2" s="74" t="s">
        <v>5</v>
      </c>
      <c r="AM2" s="74" t="s">
        <v>6</v>
      </c>
      <c r="AN2" s="74" t="s">
        <v>7</v>
      </c>
    </row>
    <row r="3" spans="1:40" ht="21.75" customHeight="1" thickTop="1" thickBot="1" x14ac:dyDescent="0.35">
      <c r="A3" s="11">
        <v>4</v>
      </c>
      <c r="B3" s="11">
        <v>4</v>
      </c>
      <c r="C3" s="2">
        <v>1</v>
      </c>
      <c r="D3" s="2">
        <v>1</v>
      </c>
      <c r="E3" s="24">
        <v>1</v>
      </c>
      <c r="F3" s="17">
        <v>1</v>
      </c>
      <c r="G3" s="28">
        <v>5</v>
      </c>
      <c r="H3" s="29">
        <v>5</v>
      </c>
      <c r="I3" s="2">
        <v>1</v>
      </c>
      <c r="J3" s="12">
        <v>2</v>
      </c>
      <c r="L3" s="20"/>
      <c r="M3" s="20"/>
      <c r="N3" s="20"/>
      <c r="O3" s="20"/>
      <c r="P3" s="53"/>
      <c r="Q3" s="9"/>
      <c r="R3" s="56"/>
      <c r="S3" s="57"/>
      <c r="T3" s="20"/>
      <c r="U3" s="20"/>
      <c r="V3" s="21"/>
      <c r="W3" s="20"/>
      <c r="X3" s="20"/>
      <c r="Y3" s="20"/>
      <c r="Z3" s="22"/>
      <c r="AA3" s="53"/>
      <c r="AB3" s="17">
        <v>1</v>
      </c>
      <c r="AC3" s="33">
        <v>5</v>
      </c>
      <c r="AD3" s="58"/>
      <c r="AE3" s="20"/>
      <c r="AF3" s="22"/>
      <c r="AH3" s="85" t="s">
        <v>1</v>
      </c>
      <c r="AI3">
        <f>COUNTA(W7:W8,X6:Y7)</f>
        <v>6</v>
      </c>
      <c r="AJ3">
        <v>2</v>
      </c>
      <c r="AK3">
        <v>5</v>
      </c>
      <c r="AL3" s="10">
        <f>100*5/AI3</f>
        <v>83.333333333333329</v>
      </c>
      <c r="AM3">
        <v>1</v>
      </c>
      <c r="AN3" s="10">
        <f>100*1/AI3</f>
        <v>16.666666666666668</v>
      </c>
    </row>
    <row r="4" spans="1:40" ht="21.75" customHeight="1" thickTop="1" thickBot="1" x14ac:dyDescent="0.35">
      <c r="A4" s="2">
        <v>1</v>
      </c>
      <c r="B4" s="11">
        <v>4</v>
      </c>
      <c r="C4" s="2">
        <v>1</v>
      </c>
      <c r="D4" s="1">
        <v>5</v>
      </c>
      <c r="E4" s="25">
        <v>5</v>
      </c>
      <c r="F4" s="29">
        <v>5</v>
      </c>
      <c r="G4" s="1">
        <v>5</v>
      </c>
      <c r="H4" s="30">
        <v>5</v>
      </c>
      <c r="I4" s="3">
        <v>5</v>
      </c>
      <c r="J4" s="12">
        <v>2</v>
      </c>
      <c r="L4" s="20"/>
      <c r="M4" s="20"/>
      <c r="N4" s="20"/>
      <c r="O4" s="20"/>
      <c r="P4" s="54"/>
      <c r="Q4" s="57"/>
      <c r="R4" s="8" t="s">
        <v>2</v>
      </c>
      <c r="S4" s="52"/>
      <c r="T4" s="22"/>
      <c r="U4" s="20"/>
      <c r="V4" s="21"/>
      <c r="W4" s="20"/>
      <c r="X4" s="20"/>
      <c r="Y4" s="20"/>
      <c r="Z4" s="22"/>
      <c r="AA4" s="53"/>
      <c r="AB4" s="29">
        <v>5</v>
      </c>
      <c r="AC4" s="1">
        <v>5</v>
      </c>
      <c r="AD4" s="28">
        <v>5</v>
      </c>
      <c r="AE4" s="22"/>
      <c r="AF4" s="22"/>
      <c r="AH4" s="85" t="s">
        <v>2</v>
      </c>
      <c r="AI4">
        <f>COUNTA(AB3:AC4,AC5,AD5,AD4,AC2)</f>
        <v>8</v>
      </c>
      <c r="AJ4">
        <v>2</v>
      </c>
      <c r="AK4">
        <v>5</v>
      </c>
      <c r="AL4" s="10">
        <f>100*7/AI4</f>
        <v>87.5</v>
      </c>
      <c r="AM4">
        <v>1</v>
      </c>
      <c r="AN4" s="10">
        <f>100*2/AI4</f>
        <v>25</v>
      </c>
    </row>
    <row r="5" spans="1:40" ht="21.75" customHeight="1" thickTop="1" thickBot="1" x14ac:dyDescent="0.35">
      <c r="A5" s="2">
        <v>1</v>
      </c>
      <c r="B5" s="34">
        <v>1</v>
      </c>
      <c r="C5" s="34">
        <v>1</v>
      </c>
      <c r="D5" s="13">
        <v>3</v>
      </c>
      <c r="E5" s="1">
        <v>5</v>
      </c>
      <c r="F5" s="33">
        <v>5</v>
      </c>
      <c r="G5" s="32">
        <v>5</v>
      </c>
      <c r="H5" s="31">
        <v>5</v>
      </c>
      <c r="I5" s="3">
        <v>5</v>
      </c>
      <c r="J5" s="12">
        <v>2</v>
      </c>
      <c r="K5" s="21"/>
      <c r="L5" s="20"/>
      <c r="M5" s="40"/>
      <c r="N5" s="40"/>
      <c r="O5" s="20"/>
      <c r="P5" s="8"/>
      <c r="Q5" s="54"/>
      <c r="R5" s="58"/>
      <c r="S5" s="51"/>
      <c r="T5" s="22"/>
      <c r="U5" s="20"/>
      <c r="V5" s="21"/>
      <c r="W5" s="20"/>
      <c r="X5" s="40"/>
      <c r="Y5" s="40"/>
      <c r="Z5" s="8"/>
      <c r="AA5" s="20"/>
      <c r="AB5" s="52"/>
      <c r="AC5" s="67">
        <v>5</v>
      </c>
      <c r="AD5" s="68">
        <v>5</v>
      </c>
      <c r="AE5" s="22"/>
      <c r="AF5" s="22"/>
      <c r="AH5" s="85" t="s">
        <v>3</v>
      </c>
      <c r="AI5">
        <f>COUNTA(AA9:AD10,AC7:AC8,AE9:AF9,AC11)</f>
        <v>13</v>
      </c>
      <c r="AJ5">
        <v>3</v>
      </c>
      <c r="AK5">
        <v>1</v>
      </c>
      <c r="AL5" s="78">
        <f>100*7/AI5</f>
        <v>53.846153846153847</v>
      </c>
      <c r="AM5">
        <v>3</v>
      </c>
      <c r="AN5" s="10">
        <f>100*1/AI5</f>
        <v>7.6923076923076925</v>
      </c>
    </row>
    <row r="6" spans="1:40" ht="21.75" customHeight="1" thickTop="1" thickBot="1" x14ac:dyDescent="0.35">
      <c r="A6" s="31">
        <v>5</v>
      </c>
      <c r="B6" s="4">
        <v>5</v>
      </c>
      <c r="C6" s="30">
        <v>5</v>
      </c>
      <c r="D6" s="14">
        <v>3</v>
      </c>
      <c r="E6" s="13">
        <v>3</v>
      </c>
      <c r="F6" s="12">
        <v>2</v>
      </c>
      <c r="G6" s="50">
        <v>2</v>
      </c>
      <c r="H6" s="16">
        <v>2</v>
      </c>
      <c r="I6" s="12">
        <v>2</v>
      </c>
      <c r="J6" s="12">
        <v>2</v>
      </c>
      <c r="K6" s="21"/>
      <c r="L6" s="51"/>
      <c r="M6" s="9"/>
      <c r="N6" s="52"/>
      <c r="O6" s="22"/>
      <c r="P6" s="20"/>
      <c r="Q6" s="20"/>
      <c r="R6" s="64"/>
      <c r="S6" s="8"/>
      <c r="T6" s="7"/>
      <c r="U6" s="20"/>
      <c r="V6" s="21"/>
      <c r="W6" s="51"/>
      <c r="X6" s="36">
        <v>5</v>
      </c>
      <c r="Y6" s="30">
        <v>5</v>
      </c>
      <c r="Z6" s="22"/>
      <c r="AA6" s="20"/>
      <c r="AB6" s="22"/>
      <c r="AC6" s="64"/>
      <c r="AD6" s="9"/>
      <c r="AE6" s="9"/>
      <c r="AF6" s="9"/>
    </row>
    <row r="7" spans="1:40" ht="21.75" customHeight="1" thickTop="1" thickBot="1" x14ac:dyDescent="0.35">
      <c r="A7" s="36">
        <v>5</v>
      </c>
      <c r="B7" s="35">
        <v>5</v>
      </c>
      <c r="C7" s="31">
        <v>5</v>
      </c>
      <c r="D7" s="14">
        <v>3</v>
      </c>
      <c r="E7" s="13">
        <v>3</v>
      </c>
      <c r="F7" s="48">
        <v>2</v>
      </c>
      <c r="G7" s="28">
        <v>5</v>
      </c>
      <c r="H7" s="3">
        <v>5</v>
      </c>
      <c r="I7" s="1">
        <v>5</v>
      </c>
      <c r="J7" s="1">
        <v>5</v>
      </c>
      <c r="K7" s="38"/>
      <c r="L7" s="9"/>
      <c r="M7" s="40" t="s">
        <v>1</v>
      </c>
      <c r="N7" s="51"/>
      <c r="O7" s="22"/>
      <c r="P7" s="20"/>
      <c r="Q7" s="53"/>
      <c r="R7" s="63"/>
      <c r="S7" s="9"/>
      <c r="T7" s="20"/>
      <c r="U7" s="20"/>
      <c r="V7" s="38"/>
      <c r="W7" s="36">
        <v>5</v>
      </c>
      <c r="X7" s="69">
        <v>5</v>
      </c>
      <c r="Y7" s="68">
        <v>5</v>
      </c>
      <c r="Z7" s="22"/>
      <c r="AA7" s="20"/>
      <c r="AB7" s="53"/>
      <c r="AC7" s="66">
        <v>5</v>
      </c>
      <c r="AD7" s="22"/>
      <c r="AE7" s="22"/>
      <c r="AF7" s="22"/>
      <c r="AH7" s="85" t="s">
        <v>11</v>
      </c>
    </row>
    <row r="8" spans="1:40" ht="21.75" customHeight="1" thickTop="1" thickBot="1" x14ac:dyDescent="0.35">
      <c r="A8" s="37">
        <v>1</v>
      </c>
      <c r="B8" s="15">
        <v>2</v>
      </c>
      <c r="C8" s="16">
        <v>2</v>
      </c>
      <c r="D8" s="12">
        <v>2</v>
      </c>
      <c r="E8" s="46">
        <v>2</v>
      </c>
      <c r="F8" s="49">
        <v>2</v>
      </c>
      <c r="G8" s="47">
        <v>1</v>
      </c>
      <c r="H8" s="41">
        <v>1</v>
      </c>
      <c r="I8" s="34">
        <v>1</v>
      </c>
      <c r="J8" s="34">
        <v>1</v>
      </c>
      <c r="K8" s="38"/>
      <c r="L8" s="39"/>
      <c r="M8" s="9"/>
      <c r="N8" s="8"/>
      <c r="O8" s="20"/>
      <c r="P8" s="40"/>
      <c r="Q8" s="51"/>
      <c r="R8" s="62"/>
      <c r="S8" s="58"/>
      <c r="T8" s="58"/>
      <c r="U8" s="58"/>
      <c r="V8" s="38"/>
      <c r="W8" s="37">
        <v>1</v>
      </c>
      <c r="X8" s="9"/>
      <c r="Y8" s="9"/>
      <c r="Z8" s="9"/>
      <c r="AA8" s="40"/>
      <c r="AB8" s="51"/>
      <c r="AC8" s="70">
        <v>1</v>
      </c>
      <c r="AD8" s="58"/>
      <c r="AE8" s="58"/>
      <c r="AF8" s="58"/>
    </row>
    <row r="9" spans="1:40" ht="21.75" customHeight="1" thickTop="1" thickBot="1" x14ac:dyDescent="0.35">
      <c r="A9" s="6">
        <v>1</v>
      </c>
      <c r="B9" s="12">
        <v>2</v>
      </c>
      <c r="C9" s="2">
        <v>1</v>
      </c>
      <c r="D9" s="24">
        <v>1</v>
      </c>
      <c r="E9" s="4">
        <v>5</v>
      </c>
      <c r="F9" s="5">
        <v>5</v>
      </c>
      <c r="G9" s="2">
        <v>1</v>
      </c>
      <c r="H9" s="6">
        <v>1</v>
      </c>
      <c r="I9" s="42">
        <v>1</v>
      </c>
      <c r="J9" s="43">
        <v>1</v>
      </c>
      <c r="K9" s="23"/>
      <c r="L9" s="8"/>
      <c r="M9" s="20"/>
      <c r="N9" s="22"/>
      <c r="O9" s="53"/>
      <c r="P9" s="9"/>
      <c r="Q9" s="9"/>
      <c r="R9" s="22" t="s">
        <v>3</v>
      </c>
      <c r="S9" s="8"/>
      <c r="T9" s="60"/>
      <c r="U9" s="61"/>
      <c r="V9" s="23"/>
      <c r="W9" s="8"/>
      <c r="X9" s="9"/>
      <c r="Y9" s="9"/>
      <c r="Z9" s="53"/>
      <c r="AA9" s="4">
        <v>5</v>
      </c>
      <c r="AB9" s="5">
        <v>5</v>
      </c>
      <c r="AC9" s="6">
        <v>1</v>
      </c>
      <c r="AD9" s="72">
        <v>1</v>
      </c>
      <c r="AE9" s="71">
        <v>1</v>
      </c>
      <c r="AF9" s="65">
        <v>1</v>
      </c>
    </row>
    <row r="10" spans="1:40" ht="21.75" customHeight="1" thickTop="1" thickBot="1" x14ac:dyDescent="0.35">
      <c r="A10" s="2">
        <v>1</v>
      </c>
      <c r="B10" s="12">
        <v>2</v>
      </c>
      <c r="C10" s="2">
        <v>1</v>
      </c>
      <c r="D10" s="24">
        <v>1</v>
      </c>
      <c r="E10" s="32">
        <v>5</v>
      </c>
      <c r="F10" s="35">
        <v>5</v>
      </c>
      <c r="G10" s="2">
        <v>1</v>
      </c>
      <c r="H10" s="26">
        <v>1</v>
      </c>
      <c r="I10" s="17">
        <v>1</v>
      </c>
      <c r="J10" s="6">
        <v>1</v>
      </c>
      <c r="L10" s="20"/>
      <c r="M10" s="20"/>
      <c r="N10" s="20"/>
      <c r="O10" s="53"/>
      <c r="P10" s="57"/>
      <c r="Q10" s="58"/>
      <c r="R10" s="20" t="s">
        <v>0</v>
      </c>
      <c r="S10" s="51"/>
      <c r="T10" s="9"/>
      <c r="U10" s="8"/>
      <c r="V10" s="23"/>
      <c r="W10" s="20"/>
      <c r="X10" s="22"/>
      <c r="Y10" s="22"/>
      <c r="Z10" s="53"/>
      <c r="AA10" s="29">
        <v>5</v>
      </c>
      <c r="AB10" s="35">
        <v>5</v>
      </c>
      <c r="AC10" s="2">
        <v>1</v>
      </c>
      <c r="AD10" s="26">
        <v>1</v>
      </c>
      <c r="AE10" s="9"/>
      <c r="AF10" s="9"/>
    </row>
    <row r="11" spans="1:40" ht="21.75" customHeight="1" thickTop="1" thickBot="1" x14ac:dyDescent="0.35">
      <c r="A11" s="2">
        <v>1</v>
      </c>
      <c r="B11" s="12">
        <v>2</v>
      </c>
      <c r="C11" s="2">
        <v>1</v>
      </c>
      <c r="D11" s="2">
        <v>1</v>
      </c>
      <c r="E11" s="18">
        <v>3</v>
      </c>
      <c r="F11" s="45">
        <v>3</v>
      </c>
      <c r="G11" s="44">
        <v>3</v>
      </c>
      <c r="H11" s="17">
        <v>1</v>
      </c>
      <c r="I11" s="2">
        <v>1</v>
      </c>
      <c r="J11" s="2">
        <v>1</v>
      </c>
      <c r="L11" s="20"/>
      <c r="M11" s="20"/>
      <c r="N11" s="20"/>
      <c r="O11" s="20"/>
      <c r="P11" s="9"/>
      <c r="Q11" s="52"/>
      <c r="R11" s="59"/>
      <c r="S11" s="9"/>
      <c r="T11" s="9"/>
      <c r="U11" s="20"/>
      <c r="V11" s="23"/>
      <c r="W11" s="8"/>
      <c r="X11" s="9"/>
      <c r="Y11" s="9"/>
      <c r="Z11" s="20"/>
      <c r="AA11" s="9"/>
      <c r="AB11" s="52"/>
      <c r="AC11" s="77">
        <v>3</v>
      </c>
      <c r="AD11" s="9"/>
      <c r="AE11" s="9"/>
      <c r="AF11" s="9"/>
      <c r="AH11" s="85" t="s">
        <v>0</v>
      </c>
    </row>
    <row r="12" spans="1:40" ht="18" thickTop="1" thickBot="1" x14ac:dyDescent="0.35"/>
    <row r="13" spans="1:40" ht="22.5" customHeight="1" thickTop="1" thickBot="1" x14ac:dyDescent="0.35">
      <c r="A13" s="11">
        <v>4</v>
      </c>
      <c r="B13" s="11">
        <v>4</v>
      </c>
      <c r="C13" s="11">
        <v>4</v>
      </c>
      <c r="D13" s="11">
        <v>4</v>
      </c>
      <c r="E13" s="2">
        <v>1</v>
      </c>
      <c r="F13" s="2">
        <v>1</v>
      </c>
      <c r="G13" s="1">
        <v>5</v>
      </c>
      <c r="H13" s="1">
        <v>5</v>
      </c>
      <c r="I13" s="2">
        <v>1</v>
      </c>
      <c r="J13" s="12">
        <v>2</v>
      </c>
      <c r="W13" s="20" t="s">
        <v>0</v>
      </c>
      <c r="X13" s="20"/>
      <c r="Y13" s="20"/>
      <c r="Z13" s="22"/>
      <c r="AA13" s="20"/>
      <c r="AB13" s="51"/>
      <c r="AC13" s="76">
        <v>5</v>
      </c>
      <c r="AD13" s="22"/>
      <c r="AE13" s="20"/>
      <c r="AF13" s="20"/>
      <c r="AG13" t="s">
        <v>0</v>
      </c>
    </row>
    <row r="14" spans="1:40" ht="22.5" customHeight="1" thickTop="1" thickBot="1" x14ac:dyDescent="0.35">
      <c r="A14" s="11">
        <v>4</v>
      </c>
      <c r="B14" s="11">
        <v>4</v>
      </c>
      <c r="C14" s="2">
        <v>1</v>
      </c>
      <c r="D14" s="2">
        <v>1</v>
      </c>
      <c r="E14" s="2">
        <v>1</v>
      </c>
      <c r="F14" s="2">
        <v>1</v>
      </c>
      <c r="G14" s="1">
        <v>5</v>
      </c>
      <c r="H14" s="1">
        <v>5</v>
      </c>
      <c r="I14" s="2">
        <v>1</v>
      </c>
      <c r="J14" s="12">
        <v>2</v>
      </c>
      <c r="O14" t="s">
        <v>0</v>
      </c>
      <c r="W14" s="20"/>
      <c r="X14" s="20"/>
      <c r="Y14" s="20"/>
      <c r="Z14" s="22"/>
      <c r="AA14" s="53"/>
      <c r="AB14" s="36">
        <v>5</v>
      </c>
      <c r="AC14" s="33">
        <v>5</v>
      </c>
      <c r="AD14" s="58"/>
      <c r="AE14" s="20"/>
      <c r="AF14" s="22"/>
    </row>
    <row r="15" spans="1:40" ht="22.5" customHeight="1" thickTop="1" thickBot="1" x14ac:dyDescent="0.35">
      <c r="A15" s="2">
        <v>1</v>
      </c>
      <c r="B15" s="11">
        <v>4</v>
      </c>
      <c r="C15" s="2">
        <v>1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2">
        <v>2</v>
      </c>
      <c r="W15" s="20"/>
      <c r="X15" s="20"/>
      <c r="Y15" s="20"/>
      <c r="Z15" s="22"/>
      <c r="AA15" s="53"/>
      <c r="AB15" s="29">
        <v>5</v>
      </c>
      <c r="AC15" s="1">
        <v>5</v>
      </c>
      <c r="AD15" s="28">
        <v>5</v>
      </c>
      <c r="AE15" s="22"/>
      <c r="AF15" s="22"/>
    </row>
    <row r="16" spans="1:40" ht="22.5" customHeight="1" thickTop="1" thickBot="1" x14ac:dyDescent="0.35">
      <c r="A16" s="2">
        <v>1</v>
      </c>
      <c r="B16" s="2">
        <v>1</v>
      </c>
      <c r="C16" s="2">
        <v>1</v>
      </c>
      <c r="D16" s="13">
        <v>3</v>
      </c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2">
        <v>2</v>
      </c>
      <c r="N16" t="s">
        <v>0</v>
      </c>
      <c r="W16" s="20"/>
      <c r="X16" s="40"/>
      <c r="Y16" s="40"/>
      <c r="Z16" s="8"/>
      <c r="AA16" s="20"/>
      <c r="AB16" s="52"/>
      <c r="AC16" s="67">
        <v>5</v>
      </c>
      <c r="AD16" s="68">
        <v>5</v>
      </c>
      <c r="AE16" s="22"/>
      <c r="AF16" s="22"/>
    </row>
    <row r="17" spans="1:40" ht="22.5" customHeight="1" thickTop="1" thickBot="1" x14ac:dyDescent="0.35">
      <c r="A17" s="1">
        <v>5</v>
      </c>
      <c r="B17" s="1">
        <v>5</v>
      </c>
      <c r="C17" s="1">
        <v>5</v>
      </c>
      <c r="D17" s="13">
        <v>3</v>
      </c>
      <c r="E17" s="13">
        <v>3</v>
      </c>
      <c r="F17" s="12">
        <v>2</v>
      </c>
      <c r="G17" s="12">
        <v>2</v>
      </c>
      <c r="H17" s="12">
        <v>2</v>
      </c>
      <c r="I17" s="12">
        <v>2</v>
      </c>
      <c r="J17" s="12">
        <v>2</v>
      </c>
      <c r="S17" t="s">
        <v>0</v>
      </c>
      <c r="W17" s="51"/>
      <c r="X17" s="36">
        <v>5</v>
      </c>
      <c r="Y17" s="30">
        <v>5</v>
      </c>
      <c r="Z17" s="22"/>
      <c r="AA17" s="20"/>
      <c r="AB17" s="22"/>
      <c r="AC17" s="64"/>
      <c r="AD17" s="9"/>
      <c r="AE17" s="9"/>
      <c r="AF17" s="9"/>
    </row>
    <row r="18" spans="1:40" ht="22.5" customHeight="1" thickTop="1" thickBot="1" x14ac:dyDescent="0.35">
      <c r="A18" s="1">
        <v>5</v>
      </c>
      <c r="B18" s="1">
        <v>5</v>
      </c>
      <c r="C18" s="1">
        <v>5</v>
      </c>
      <c r="D18" s="13">
        <v>3</v>
      </c>
      <c r="E18" s="13">
        <v>3</v>
      </c>
      <c r="F18" s="12">
        <v>2</v>
      </c>
      <c r="G18" s="1">
        <v>5</v>
      </c>
      <c r="H18" s="1">
        <v>5</v>
      </c>
      <c r="I18" s="1">
        <v>5</v>
      </c>
      <c r="J18" s="1">
        <v>5</v>
      </c>
      <c r="W18" s="36">
        <v>5</v>
      </c>
      <c r="X18" s="69">
        <v>5</v>
      </c>
      <c r="Y18" s="68">
        <v>5</v>
      </c>
      <c r="Z18" s="22"/>
      <c r="AA18" s="20"/>
      <c r="AB18" s="53"/>
      <c r="AC18" s="80">
        <v>1</v>
      </c>
      <c r="AD18" s="22"/>
      <c r="AE18" s="22"/>
      <c r="AF18" s="22"/>
    </row>
    <row r="19" spans="1:40" ht="22.5" customHeight="1" thickTop="1" thickBot="1" x14ac:dyDescent="0.35">
      <c r="A19" s="2">
        <v>1</v>
      </c>
      <c r="B19" s="12">
        <v>2</v>
      </c>
      <c r="C19" s="12">
        <v>2</v>
      </c>
      <c r="D19" s="12">
        <v>2</v>
      </c>
      <c r="E19" s="12">
        <v>2</v>
      </c>
      <c r="F19" s="12">
        <v>2</v>
      </c>
      <c r="G19" s="2">
        <v>1</v>
      </c>
      <c r="H19" s="2">
        <v>1</v>
      </c>
      <c r="I19" s="2">
        <v>1</v>
      </c>
      <c r="J19" s="2">
        <v>1</v>
      </c>
      <c r="W19" s="79">
        <v>5</v>
      </c>
      <c r="X19" s="9"/>
      <c r="Y19" s="9"/>
      <c r="Z19" s="9"/>
      <c r="AA19" s="40"/>
      <c r="AB19" s="51"/>
      <c r="AC19" s="70">
        <v>1</v>
      </c>
      <c r="AD19" s="58"/>
      <c r="AE19" s="58"/>
      <c r="AF19" s="58"/>
    </row>
    <row r="20" spans="1:40" ht="22.5" customHeight="1" thickTop="1" thickBot="1" x14ac:dyDescent="0.35">
      <c r="A20" s="2">
        <v>1</v>
      </c>
      <c r="B20" s="12">
        <v>2</v>
      </c>
      <c r="C20" s="2">
        <v>1</v>
      </c>
      <c r="D20" s="2">
        <v>1</v>
      </c>
      <c r="E20" s="1">
        <v>5</v>
      </c>
      <c r="F20" s="1">
        <v>5</v>
      </c>
      <c r="G20" s="2">
        <v>1</v>
      </c>
      <c r="H20" s="2">
        <v>1</v>
      </c>
      <c r="I20" s="2">
        <v>1</v>
      </c>
      <c r="J20" s="2">
        <v>1</v>
      </c>
      <c r="W20" s="8"/>
      <c r="X20" s="9"/>
      <c r="Y20" s="9"/>
      <c r="Z20" s="53"/>
      <c r="AA20" s="17">
        <v>1</v>
      </c>
      <c r="AB20" s="6">
        <v>1</v>
      </c>
      <c r="AC20" s="6">
        <v>1</v>
      </c>
      <c r="AD20" s="72">
        <v>1</v>
      </c>
      <c r="AE20" s="71">
        <v>1</v>
      </c>
      <c r="AF20" s="65">
        <v>1</v>
      </c>
    </row>
    <row r="21" spans="1:40" ht="22.5" customHeight="1" thickTop="1" thickBot="1" x14ac:dyDescent="0.35">
      <c r="A21" s="2">
        <v>1</v>
      </c>
      <c r="B21" s="12">
        <v>2</v>
      </c>
      <c r="C21" s="2">
        <v>1</v>
      </c>
      <c r="D21" s="2">
        <v>1</v>
      </c>
      <c r="E21" s="1">
        <v>5</v>
      </c>
      <c r="F21" s="1">
        <v>5</v>
      </c>
      <c r="G21" s="2">
        <v>1</v>
      </c>
      <c r="H21" s="2">
        <v>1</v>
      </c>
      <c r="I21" s="2">
        <v>1</v>
      </c>
      <c r="J21" s="2">
        <v>1</v>
      </c>
      <c r="W21" s="20"/>
      <c r="X21" s="22"/>
      <c r="Y21" s="22"/>
      <c r="Z21" s="53"/>
      <c r="AA21" s="41">
        <v>1</v>
      </c>
      <c r="AB21" s="34">
        <v>1</v>
      </c>
      <c r="AC21" s="2">
        <v>1</v>
      </c>
      <c r="AD21" s="26">
        <v>1</v>
      </c>
      <c r="AE21" s="9"/>
      <c r="AF21" s="9"/>
    </row>
    <row r="22" spans="1:40" ht="22.5" customHeight="1" thickTop="1" thickBot="1" x14ac:dyDescent="0.35">
      <c r="A22" s="2">
        <v>1</v>
      </c>
      <c r="B22" s="12">
        <v>2</v>
      </c>
      <c r="C22" s="2">
        <v>1</v>
      </c>
      <c r="D22" s="2">
        <v>1</v>
      </c>
      <c r="E22" s="13">
        <v>3</v>
      </c>
      <c r="F22" s="13">
        <v>3</v>
      </c>
      <c r="G22" s="13">
        <v>3</v>
      </c>
      <c r="H22" s="2">
        <v>1</v>
      </c>
      <c r="I22" s="2">
        <v>1</v>
      </c>
      <c r="J22" s="2">
        <v>1</v>
      </c>
      <c r="W22" s="8"/>
      <c r="X22" s="9"/>
      <c r="Y22" s="9"/>
      <c r="Z22" s="20"/>
      <c r="AA22" s="9"/>
      <c r="AB22" s="52"/>
      <c r="AC22" s="81">
        <v>1</v>
      </c>
      <c r="AD22" s="9"/>
      <c r="AE22" s="9"/>
      <c r="AF22" s="9"/>
    </row>
    <row r="23" spans="1:40" ht="17.25" thickTop="1" x14ac:dyDescent="0.3"/>
    <row r="32" spans="1:40" x14ac:dyDescent="0.3">
      <c r="AH32" s="87" t="s">
        <v>9</v>
      </c>
      <c r="AI32" s="83" t="s">
        <v>8</v>
      </c>
      <c r="AJ32" s="83" t="s">
        <v>10</v>
      </c>
      <c r="AK32" s="83" t="s">
        <v>4</v>
      </c>
      <c r="AL32" s="83" t="s">
        <v>5</v>
      </c>
      <c r="AM32" s="83" t="s">
        <v>6</v>
      </c>
      <c r="AN32" s="83" t="s">
        <v>7</v>
      </c>
    </row>
    <row r="33" spans="34:40" x14ac:dyDescent="0.3">
      <c r="AH33" s="85" t="s">
        <v>1</v>
      </c>
      <c r="AI33" s="73">
        <v>6</v>
      </c>
      <c r="AJ33" s="73">
        <v>2</v>
      </c>
      <c r="AK33" s="73">
        <v>5</v>
      </c>
      <c r="AL33" s="82">
        <v>83.333333333333329</v>
      </c>
      <c r="AM33" s="73">
        <v>1</v>
      </c>
      <c r="AN33" s="82">
        <v>16.666666666666668</v>
      </c>
    </row>
    <row r="34" spans="34:40" x14ac:dyDescent="0.3">
      <c r="AH34" s="85" t="s">
        <v>2</v>
      </c>
      <c r="AI34" s="73">
        <v>8</v>
      </c>
      <c r="AJ34" s="73">
        <v>2</v>
      </c>
      <c r="AK34" s="73">
        <v>5</v>
      </c>
      <c r="AL34" s="82">
        <v>87.5</v>
      </c>
      <c r="AM34" s="73">
        <v>1</v>
      </c>
      <c r="AN34" s="82">
        <v>25</v>
      </c>
    </row>
    <row r="35" spans="34:40" x14ac:dyDescent="0.3">
      <c r="AH35" s="85" t="s">
        <v>3</v>
      </c>
      <c r="AI35" s="73">
        <v>13</v>
      </c>
      <c r="AJ35" s="73">
        <v>3</v>
      </c>
      <c r="AK35" s="73">
        <v>1</v>
      </c>
      <c r="AL35" s="84">
        <v>53.846153846153847</v>
      </c>
      <c r="AM35" s="73">
        <v>3</v>
      </c>
      <c r="AN35" s="82">
        <v>7.6923076923076925</v>
      </c>
    </row>
    <row r="37" spans="34:40" x14ac:dyDescent="0.3">
      <c r="AH37" s="91" t="s">
        <v>9</v>
      </c>
      <c r="AI37" s="92" t="s">
        <v>1</v>
      </c>
      <c r="AJ37" s="92" t="s">
        <v>2</v>
      </c>
      <c r="AK37" s="92" t="s">
        <v>3</v>
      </c>
    </row>
    <row r="38" spans="34:40" x14ac:dyDescent="0.3">
      <c r="AH38" s="91" t="s">
        <v>8</v>
      </c>
      <c r="AI38" s="88">
        <v>6</v>
      </c>
      <c r="AJ38" s="88">
        <v>8</v>
      </c>
      <c r="AK38" s="88">
        <v>13</v>
      </c>
    </row>
    <row r="39" spans="34:40" x14ac:dyDescent="0.3">
      <c r="AH39" s="91" t="s">
        <v>10</v>
      </c>
      <c r="AI39" s="88">
        <v>2</v>
      </c>
      <c r="AJ39" s="88">
        <v>2</v>
      </c>
      <c r="AK39" s="88">
        <v>3</v>
      </c>
    </row>
    <row r="40" spans="34:40" x14ac:dyDescent="0.3">
      <c r="AH40" s="91" t="s">
        <v>4</v>
      </c>
      <c r="AI40" s="88">
        <v>5</v>
      </c>
      <c r="AJ40" s="88">
        <v>5</v>
      </c>
      <c r="AK40" s="88">
        <v>1</v>
      </c>
    </row>
    <row r="41" spans="34:40" x14ac:dyDescent="0.3">
      <c r="AH41" s="91" t="s">
        <v>5</v>
      </c>
      <c r="AI41" s="89">
        <v>83.3</v>
      </c>
      <c r="AJ41" s="89">
        <v>87.5</v>
      </c>
      <c r="AK41" s="90">
        <v>53.8</v>
      </c>
    </row>
    <row r="42" spans="34:40" x14ac:dyDescent="0.3">
      <c r="AH42" s="91" t="s">
        <v>6</v>
      </c>
      <c r="AI42" s="88">
        <v>1</v>
      </c>
      <c r="AJ42" s="88">
        <v>1</v>
      </c>
      <c r="AK42" s="88">
        <v>3</v>
      </c>
    </row>
    <row r="43" spans="34:40" x14ac:dyDescent="0.3">
      <c r="AH43" s="91" t="s">
        <v>7</v>
      </c>
      <c r="AI43" s="89">
        <v>16.666666666666668</v>
      </c>
      <c r="AJ43" s="89">
        <v>25</v>
      </c>
      <c r="AK43" s="89">
        <v>7.7</v>
      </c>
    </row>
  </sheetData>
  <pageMargins left="0.7" right="0.7" top="0.75" bottom="0.75" header="0.3" footer="0.3"/>
  <pageSetup orientation="portrait" r:id="rId1"/>
  <ignoredErrors>
    <ignoredError sqref="AN4" formula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 wijaya</dc:creator>
  <cp:lastModifiedBy>nana wijaya</cp:lastModifiedBy>
  <dcterms:created xsi:type="dcterms:W3CDTF">2026-07-18T07:41:18Z</dcterms:created>
  <dcterms:modified xsi:type="dcterms:W3CDTF">2026-07-18T15:43:16Z</dcterms:modified>
</cp:coreProperties>
</file>